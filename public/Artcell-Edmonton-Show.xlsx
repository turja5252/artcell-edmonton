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ponsors" sheetId="2" state="visible" r:id="rId2"/>
    <sheet name="Attendance" sheetId="3" state="visible" r:id="rId3"/>
    <sheet name="Setlist" sheetId="4" state="visible" r:id="rId4"/>
    <sheet name="How to share" sheetId="5" state="visible" r:id="rId5"/>
  </sheets>
  <definedNames>
    <definedName name="_xlnm.Print_Titles" localSheetId="0">'Dashboard'!$1:$2</definedName>
    <definedName name="_xlnm._FilterDatabase" localSheetId="1" hidden="1">'Sponsors'!$A$1:$G$33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C9A227"/>
      <sz val="11"/>
    </font>
    <font>
      <name val="Calibri"/>
      <color rgb="000563C1"/>
      <sz val="11"/>
      <u val="single"/>
    </font>
    <font>
      <name val="Calibri"/>
      <b val="1"/>
      <color rgb="001C140E"/>
      <sz val="22"/>
    </font>
    <font>
      <name val="Calibri"/>
      <color rgb="006B5B45"/>
      <sz val="11"/>
    </font>
    <font>
      <name val="Calibri"/>
      <b val="1"/>
      <color rgb="006B5B45"/>
      <sz val="10"/>
    </font>
    <font>
      <name val="Calibri"/>
      <b val="1"/>
      <color rgb="002A2118"/>
      <sz val="16"/>
    </font>
    <font>
      <name val="Calibri"/>
      <b val="1"/>
      <color rgb="00C9A227"/>
      <sz val="14"/>
    </font>
    <font>
      <name val="Calibri"/>
      <color rgb="002A2118"/>
      <sz val="11"/>
    </font>
    <font>
      <name val="Calibri"/>
      <b val="1"/>
      <color rgb="001C140E"/>
      <sz val="20"/>
    </font>
    <font>
      <name val="Calibri"/>
      <b val="1"/>
      <color rgb="001C140E"/>
      <sz val="16"/>
    </font>
    <font>
      <name val="Calibri"/>
      <color rgb="002A2118"/>
      <sz val="13"/>
    </font>
  </fonts>
  <fills count="5">
    <fill>
      <patternFill/>
    </fill>
    <fill>
      <patternFill patternType="gray125"/>
    </fill>
    <fill>
      <patternFill patternType="solid">
        <fgColor rgb="001C140E"/>
      </patternFill>
    </fill>
    <fill>
      <patternFill patternType="solid">
        <fgColor rgb="00EEE6D8"/>
      </patternFill>
    </fill>
    <fill>
      <patternFill patternType="solid">
        <fgColor rgb="00FFE8A3"/>
      </patternFill>
    </fill>
  </fills>
  <borders count="2">
    <border>
      <left/>
      <right/>
      <top/>
      <bottom/>
      <diagonal/>
    </border>
    <border>
      <left style="thin">
        <color rgb="00D4C4A8"/>
      </left>
      <right style="thin">
        <color rgb="00D4C4A8"/>
      </right>
      <top style="thin">
        <color rgb="00D4C4A8"/>
      </top>
      <bottom style="thin">
        <color rgb="00D4C4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4" borderId="1" pivotButton="0" quotePrefix="0" xfId="0"/>
    <xf numFmtId="3" fontId="6" fillId="4" borderId="1" pivotButton="0" quotePrefix="0" xfId="0"/>
    <xf numFmtId="0" fontId="7" fillId="2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vertical="center"/>
    </xf>
    <xf numFmtId="164" fontId="9" fillId="3" borderId="1" applyAlignment="1" pivotButton="0" quotePrefix="0" xfId="0">
      <alignment horizontal="left" vertical="center"/>
    </xf>
    <xf numFmtId="3" fontId="9" fillId="3" borderId="1" applyAlignment="1" pivotButton="0" quotePrefix="0" xfId="0">
      <alignment horizontal="left" vertical="center"/>
    </xf>
    <xf numFmtId="164" fontId="0" fillId="3" borderId="1" pivotButton="0" quotePrefix="0" xfId="0"/>
    <xf numFmtId="9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3" borderId="1" pivotButton="0" quotePrefix="0" xfId="0"/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/>
    </xf>
    <xf numFmtId="164" fontId="0" fillId="4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'Dashboard'!I6</f>
            </strRef>
          </tx>
          <spPr>
            <a:ln>
              <a:prstDash val="solid"/>
            </a:ln>
          </spPr>
          <cat>
            <numRef>
              <f>'Dashboard'!$H$7:$H$9</f>
            </numRef>
          </cat>
          <val>
            <numRef>
              <f>'Dashboard'!$I$7:$I$9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32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ponsors" displayName="Sponsors" ref="A1:G33" headerRowCount="1">
  <autoFilter ref="A1:G33"/>
  <tableColumns count="7">
    <tableColumn id="1" name="Company"/>
    <tableColumn id="2" name="Assigned"/>
    <tableColumn id="3" name="Done"/>
    <tableColumn id="4" name="Outcome"/>
    <tableColumn id="5" name="Committed"/>
    <tableColumn id="6" name="Received"/>
    <tableColumn id="7" name="Still owin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ttendance" displayName="Attendance" ref="A1:E26" headerRowCount="1">
  <autoFilter ref="A1:E26"/>
  <tableColumns count="5">
    <tableColumn id="1" name="Name or group"/>
    <tableColumn id="2" name="Assigned"/>
    <tableColumn id="3" name="Status"/>
    <tableColumn id="4" name="Seats"/>
    <tableColumn id="5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etlist" displayName="Setlist" ref="A1:D12" headerRowCount="1">
  <autoFilter ref="A1:D12"/>
  <tableColumns count="4">
    <tableColumn id="1" name="#"/>
    <tableColumn id="2" name="Cue"/>
    <tableColumn id="3" name="Timestamp"/>
    <tableColumn id="4" name="YouTub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watch?v=xSue3Ckaoos&amp;t=495s" TargetMode="External" Id="rId1" /><Relationship Type="http://schemas.openxmlformats.org/officeDocument/2006/relationships/hyperlink" Target="https://www.youtube.com/watch?v=xSue3Ckaoos&amp;t=652s" TargetMode="External" Id="rId2" /><Relationship Type="http://schemas.openxmlformats.org/officeDocument/2006/relationships/hyperlink" Target="https://www.youtube.com/watch?v=v6SWr2UeYs4&amp;t=102s" TargetMode="External" Id="rId3" /><Relationship Type="http://schemas.openxmlformats.org/officeDocument/2006/relationships/hyperlink" Target="https://www.youtube.com/watch?v=v6SWr2UeYs4&amp;t=262s" TargetMode="External" Id="rId4" /><Relationship Type="http://schemas.openxmlformats.org/officeDocument/2006/relationships/hyperlink" Target="https://www.youtube.com/watch?v=eo4Zj-7Ex4o&amp;t=378s" TargetMode="External" Id="rId5" /><Relationship Type="http://schemas.openxmlformats.org/officeDocument/2006/relationships/hyperlink" Target="https://www.youtube.com/watch?v=7FupQWRuqSc&amp;t=292s" TargetMode="External" Id="rId6" /><Relationship Type="http://schemas.openxmlformats.org/officeDocument/2006/relationships/hyperlink" Target="https://www.youtube.com/watch?v=7FupQWRuqSc&amp;t=399s" TargetMode="External" Id="rId7" /><Relationship Type="http://schemas.openxmlformats.org/officeDocument/2006/relationships/hyperlink" Target="https://www.youtube.com/watch?v=z47nnlHkMIc&amp;t=122s" TargetMode="External" Id="rId8" /><Relationship Type="http://schemas.openxmlformats.org/officeDocument/2006/relationships/hyperlink" Target="https://www.youtube.com/watch?v=RpEFOwsHEmE&amp;t=255s" TargetMode="External" Id="rId9" /><Relationship Type="http://schemas.openxmlformats.org/officeDocument/2006/relationships/hyperlink" Target="https://www.youtube.com/watch?v=xI_Fa-wpGgw&amp;t=191s" TargetMode="External" Id="rId10" /><Relationship Type="http://schemas.openxmlformats.org/officeDocument/2006/relationships/hyperlink" Target="https://www.youtube.com/watch?v=ZI0TYzNuSq4&amp;t=271s" TargetMode="External" Id="rId11" /><Relationship Type="http://schemas.openxmlformats.org/officeDocument/2006/relationships/table" Target="/xl/tables/table3.xml" Id="rId1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I3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3" customWidth="1" min="4" max="4"/>
    <col width="22" customWidth="1" min="5" max="5"/>
    <col width="18" customWidth="1" min="6" max="6"/>
    <col width="3" customWidth="1" min="7" max="7"/>
    <col width="22" customWidth="1" min="8" max="8"/>
    <col width="16" customWidth="1" min="9" max="9"/>
  </cols>
  <sheetData>
    <row r="1" ht="28" customHeight="1">
      <c r="B1" s="1" t="inlineStr">
        <is>
          <t>ARTCELL  ·  EDMONTON SHOW</t>
        </is>
      </c>
    </row>
    <row r="2" ht="20" customHeight="1">
      <c r="B2" s="2" t="inlineStr">
        <is>
          <t>Type only in the yellow cells. Gray cells are running totals — they update themselves.</t>
        </is>
      </c>
    </row>
    <row r="4">
      <c r="B4" s="3" t="inlineStr">
        <is>
          <t>MONEY TARGET (CAD)</t>
        </is>
      </c>
      <c r="C4" s="4" t="n">
        <v>0</v>
      </c>
      <c r="E4" s="3" t="inlineStr">
        <is>
          <t>SEAT TARGET</t>
        </is>
      </c>
      <c r="F4" s="5" t="n">
        <v>0</v>
      </c>
    </row>
    <row r="6">
      <c r="B6" s="6" t="inlineStr">
        <is>
          <t>MONEY</t>
        </is>
      </c>
      <c r="C6" s="7" t="n"/>
      <c r="E6" s="6" t="inlineStr">
        <is>
          <t>ATTENDANCE</t>
        </is>
      </c>
      <c r="F6" s="7" t="n"/>
      <c r="H6" s="6" t="inlineStr">
        <is>
          <t>Money snapshot</t>
        </is>
      </c>
      <c r="I6" s="7" t="inlineStr"/>
    </row>
    <row r="7" ht="28" customHeight="1">
      <c r="B7" s="8" t="inlineStr">
        <is>
          <t>Committed</t>
        </is>
      </c>
      <c r="C7" s="9">
        <f>SUM(Sponsors[Committed])</f>
        <v/>
      </c>
      <c r="E7" s="8" t="inlineStr">
        <is>
          <t>Confirmed seats</t>
        </is>
      </c>
      <c r="F7" s="10">
        <f>SUMIF(Attendance[Status],"Confirmed",Attendance[Seats])</f>
        <v/>
      </c>
      <c r="H7" t="inlineStr">
        <is>
          <t>Committed</t>
        </is>
      </c>
      <c r="I7" s="11">
        <f>C7</f>
        <v/>
      </c>
    </row>
    <row r="8" ht="28" customHeight="1">
      <c r="B8" s="8" t="inlineStr">
        <is>
          <t>Received</t>
        </is>
      </c>
      <c r="C8" s="9">
        <f>SUM(Sponsors[Received])</f>
        <v/>
      </c>
      <c r="E8" s="8" t="inlineStr">
        <is>
          <t>Maybe</t>
        </is>
      </c>
      <c r="F8" s="10">
        <f>SUMIF(Attendance[Status],"Maybe",Attendance[Seats])</f>
        <v/>
      </c>
      <c r="H8" t="inlineStr">
        <is>
          <t>Received</t>
        </is>
      </c>
      <c r="I8" s="11">
        <f>C8</f>
        <v/>
      </c>
    </row>
    <row r="9" ht="28" customHeight="1">
      <c r="B9" s="8" t="inlineStr">
        <is>
          <t>Remaining to target</t>
        </is>
      </c>
      <c r="C9" s="9">
        <f>MAX(0,C4-C7)</f>
        <v/>
      </c>
      <c r="E9" s="8" t="inlineStr">
        <is>
          <t>Remaining to fill</t>
        </is>
      </c>
      <c r="F9" s="10">
        <f>MAX(0,F4-F7)</f>
        <v/>
      </c>
      <c r="H9" t="inlineStr">
        <is>
          <t>Remaining</t>
        </is>
      </c>
      <c r="I9" s="11">
        <f>C9</f>
        <v/>
      </c>
    </row>
    <row r="10" ht="28" customHeight="1">
      <c r="B10" s="8" t="inlineStr">
        <is>
          <t>Still to collect</t>
        </is>
      </c>
      <c r="C10" s="9">
        <f>MAX(0,C7-C8)</f>
        <v/>
      </c>
      <c r="E10" s="8" t="inlineStr">
        <is>
          <t>Not reached yet</t>
        </is>
      </c>
      <c r="F10" s="10">
        <f>SUMIF(Attendance[Status],"Not reached",Attendance[Seats])</f>
        <v/>
      </c>
    </row>
    <row r="11" ht="28" customHeight="1">
      <c r="B11" s="8" t="inlineStr">
        <is>
          <t>Of target</t>
        </is>
      </c>
      <c r="C11" s="12">
        <f>IF(C4=0,"Set a target",C7/C4)</f>
        <v/>
      </c>
      <c r="E11" s="8" t="inlineStr">
        <is>
          <t>Of room</t>
        </is>
      </c>
      <c r="F11" s="12">
        <f>IF(F4=0,"Set a target",F7/F4)</f>
        <v/>
      </c>
    </row>
    <row r="12" ht="28" customHeight="1">
      <c r="B12" s="8" t="inlineStr">
        <is>
          <t>Companies pledged</t>
        </is>
      </c>
      <c r="C12" s="13">
        <f>COUNTIF(Sponsors[Committed],"&gt;0")</f>
        <v/>
      </c>
      <c r="E12" s="8" t="inlineStr">
        <is>
          <t>People on list</t>
        </is>
      </c>
      <c r="F12" s="10">
        <f>COUNTA(Attendance[Name or group])</f>
        <v/>
      </c>
    </row>
    <row r="14">
      <c r="B14" s="6" t="inlineStr">
        <is>
          <t>SPONSOR OUTREACH</t>
        </is>
      </c>
      <c r="C14" s="7" t="n"/>
      <c r="E14" s="6" t="inlineStr">
        <is>
          <t>WHAT TO TYPE</t>
        </is>
      </c>
      <c r="F14" s="7" t="n"/>
    </row>
    <row r="15">
      <c r="B15" t="inlineStr">
        <is>
          <t>Reached / done</t>
        </is>
      </c>
      <c r="C15" s="14">
        <f>COUNTIF(Sponsors[Done],"Yes")&amp;" / "&amp;COUNTA(Sponsors[Company])</f>
        <v/>
      </c>
      <c r="E15" s="15" t="inlineStr">
        <is>
          <t>1. Set the two yellow targets above.
2. On Sponsors, log $ they pledged and $ received.
3. On Attendance, add names, seats, and status.
4. This page updates itself. Don’t type over gray cells.</t>
        </is>
      </c>
    </row>
    <row r="16">
      <c r="B16" t="inlineStr">
        <is>
          <t>Still open</t>
        </is>
      </c>
      <c r="C16" s="14">
        <f>COUNTIF(Sponsors[Done],"No")</f>
        <v/>
      </c>
    </row>
    <row r="17">
      <c r="B17" t="inlineStr">
        <is>
          <t>Need an owner</t>
        </is>
      </c>
      <c r="C17" s="14">
        <f>COUNTIFS(Sponsors[Assigned],"",Sponsors[Done],"No")</f>
        <v/>
      </c>
    </row>
    <row r="34">
      <c r="B34" s="2" t="inlineStr">
        <is>
          <t>Open the Sponsors or Attendance tabs to type. Totals on this page follow those tables.</t>
        </is>
      </c>
    </row>
  </sheetData>
  <mergeCells count="8">
    <mergeCell ref="B6:C6"/>
    <mergeCell ref="E6:F6"/>
    <mergeCell ref="B2:F2"/>
    <mergeCell ref="B34:F34"/>
    <mergeCell ref="E15:F17"/>
    <mergeCell ref="B14:C14"/>
    <mergeCell ref="E14:F14"/>
    <mergeCell ref="B1:F1"/>
  </mergeCells>
  <pageMargins left="0.75" right="0.75" top="1" bottom="1" header="0.5" footer="0.5"/>
  <pageSetup orientation="portrait" fitToHeight="1" fitToWidth="1"/>
  <headerFooter>
    <oddHeader>&amp;L&amp;K1C140E Artcell Edmonton Show</oddHeader>
    <oddFooter>&amp;LYellow = type   ·   Gray = auto total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" customWidth="1" min="3" max="3"/>
    <col width="2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6" t="inlineStr">
        <is>
          <t>Company</t>
        </is>
      </c>
      <c r="B1" s="16" t="inlineStr">
        <is>
          <t>Assigned</t>
        </is>
      </c>
      <c r="C1" s="16" t="inlineStr">
        <is>
          <t>Done</t>
        </is>
      </c>
      <c r="D1" s="16" t="inlineStr">
        <is>
          <t>Outcome</t>
        </is>
      </c>
      <c r="E1" s="16" t="inlineStr">
        <is>
          <t>Committed</t>
        </is>
      </c>
      <c r="F1" s="16" t="inlineStr">
        <is>
          <t>Received</t>
        </is>
      </c>
      <c r="G1" s="16" t="inlineStr">
        <is>
          <t>Still owing</t>
        </is>
      </c>
    </row>
    <row r="2">
      <c r="A2" t="inlineStr">
        <is>
          <t>Dr Jasmeen</t>
        </is>
      </c>
      <c r="B2" t="inlineStr"/>
      <c r="C2" s="17" t="inlineStr">
        <is>
          <t>No</t>
        </is>
      </c>
      <c r="D2" t="inlineStr"/>
      <c r="E2" s="18" t="n">
        <v>0</v>
      </c>
      <c r="F2" s="18" t="n">
        <v>0</v>
      </c>
      <c r="G2" s="19">
        <f>MAX(0,E2-F2)</f>
        <v/>
      </c>
    </row>
    <row r="3">
      <c r="A3" t="inlineStr">
        <is>
          <t>Millet Pharmacy</t>
        </is>
      </c>
      <c r="B3" t="inlineStr">
        <is>
          <t>Novel</t>
        </is>
      </c>
      <c r="C3" s="17" t="inlineStr">
        <is>
          <t>No</t>
        </is>
      </c>
      <c r="D3" t="inlineStr"/>
      <c r="E3" s="18" t="n">
        <v>0</v>
      </c>
      <c r="F3" s="18" t="n">
        <v>0</v>
      </c>
      <c r="G3" s="19">
        <f>MAX(0,E3-F3)</f>
        <v/>
      </c>
    </row>
    <row r="4">
      <c r="A4" t="inlineStr">
        <is>
          <t>Desjardin</t>
        </is>
      </c>
      <c r="B4" t="inlineStr">
        <is>
          <t>Nick</t>
        </is>
      </c>
      <c r="C4" s="17" t="inlineStr">
        <is>
          <t>No</t>
        </is>
      </c>
      <c r="D4" t="inlineStr"/>
      <c r="E4" s="18" t="n">
        <v>0</v>
      </c>
      <c r="F4" s="18" t="n">
        <v>0</v>
      </c>
      <c r="G4" s="19">
        <f>MAX(0,E4-F4)</f>
        <v/>
      </c>
    </row>
    <row r="5">
      <c r="A5" t="inlineStr">
        <is>
          <t>Bishwajit Barua</t>
        </is>
      </c>
      <c r="B5" t="inlineStr">
        <is>
          <t>Nick</t>
        </is>
      </c>
      <c r="C5" s="17" t="inlineStr">
        <is>
          <t>No</t>
        </is>
      </c>
      <c r="D5" t="inlineStr"/>
      <c r="E5" s="18" t="n">
        <v>0</v>
      </c>
      <c r="F5" s="18" t="n">
        <v>0</v>
      </c>
      <c r="G5" s="19">
        <f>MAX(0,E5-F5)</f>
        <v/>
      </c>
    </row>
    <row r="6">
      <c r="A6" t="inlineStr">
        <is>
          <t>MR Engineering</t>
        </is>
      </c>
      <c r="B6" t="inlineStr">
        <is>
          <t>Fahim</t>
        </is>
      </c>
      <c r="C6" s="17" t="inlineStr">
        <is>
          <t>No</t>
        </is>
      </c>
      <c r="D6" t="inlineStr"/>
      <c r="E6" s="18" t="n">
        <v>0</v>
      </c>
      <c r="F6" s="18" t="n">
        <v>0</v>
      </c>
      <c r="G6" s="19">
        <f>MAX(0,E6-F6)</f>
        <v/>
      </c>
    </row>
    <row r="7">
      <c r="A7" t="inlineStr">
        <is>
          <t>Chandu Talukdar - CN Tax</t>
        </is>
      </c>
      <c r="B7" t="inlineStr"/>
      <c r="C7" s="17" t="inlineStr">
        <is>
          <t>No</t>
        </is>
      </c>
      <c r="D7" t="inlineStr"/>
      <c r="E7" s="18" t="n">
        <v>0</v>
      </c>
      <c r="F7" s="18" t="n">
        <v>0</v>
      </c>
      <c r="G7" s="19">
        <f>MAX(0,E7-F7)</f>
        <v/>
      </c>
    </row>
    <row r="8">
      <c r="A8" t="inlineStr">
        <is>
          <t>Mahabub Mollah</t>
        </is>
      </c>
      <c r="B8" t="inlineStr">
        <is>
          <t>Sathi</t>
        </is>
      </c>
      <c r="C8" s="17" t="inlineStr">
        <is>
          <t>No</t>
        </is>
      </c>
      <c r="D8" t="inlineStr"/>
      <c r="E8" s="18" t="n">
        <v>0</v>
      </c>
      <c r="F8" s="18" t="n">
        <v>0</v>
      </c>
      <c r="G8" s="19">
        <f>MAX(0,E8-F8)</f>
        <v/>
      </c>
    </row>
    <row r="9">
      <c r="A9" t="inlineStr">
        <is>
          <t>Razib Chowdhury</t>
        </is>
      </c>
      <c r="B9" t="inlineStr">
        <is>
          <t>Khaled</t>
        </is>
      </c>
      <c r="C9" s="17" t="inlineStr">
        <is>
          <t>No</t>
        </is>
      </c>
      <c r="D9" t="inlineStr"/>
      <c r="E9" s="18" t="n">
        <v>0</v>
      </c>
      <c r="F9" s="18" t="n">
        <v>0</v>
      </c>
      <c r="G9" s="19">
        <f>MAX(0,E9-F9)</f>
        <v/>
      </c>
    </row>
    <row r="10">
      <c r="A10" t="inlineStr">
        <is>
          <t>Gurpinder (Mortgage)</t>
        </is>
      </c>
      <c r="B10" t="inlineStr">
        <is>
          <t>Sathi</t>
        </is>
      </c>
      <c r="C10" s="17" t="inlineStr">
        <is>
          <t>No</t>
        </is>
      </c>
      <c r="D10" t="inlineStr"/>
      <c r="E10" s="18" t="n">
        <v>0</v>
      </c>
      <c r="F10" s="18" t="n">
        <v>0</v>
      </c>
      <c r="G10" s="19">
        <f>MAX(0,E10-F10)</f>
        <v/>
      </c>
    </row>
    <row r="11">
      <c r="A11" t="inlineStr">
        <is>
          <t>Dominion Landing</t>
        </is>
      </c>
      <c r="B11" t="inlineStr">
        <is>
          <t>Fahim</t>
        </is>
      </c>
      <c r="C11" s="17" t="inlineStr">
        <is>
          <t>No</t>
        </is>
      </c>
      <c r="D11" t="inlineStr"/>
      <c r="E11" s="18" t="n">
        <v>0</v>
      </c>
      <c r="F11" s="18" t="n">
        <v>0</v>
      </c>
      <c r="G11" s="19">
        <f>MAX(0,E11-F11)</f>
        <v/>
      </c>
    </row>
    <row r="12">
      <c r="A12" t="inlineStr">
        <is>
          <t>Raiyan's Company</t>
        </is>
      </c>
      <c r="B12" t="inlineStr">
        <is>
          <t>Wade Engineering</t>
        </is>
      </c>
      <c r="C12" s="17" t="inlineStr">
        <is>
          <t>No</t>
        </is>
      </c>
      <c r="D12" t="inlineStr"/>
      <c r="E12" s="18" t="n">
        <v>0</v>
      </c>
      <c r="F12" s="18" t="n">
        <v>0</v>
      </c>
      <c r="G12" s="19">
        <f>MAX(0,E12-F12)</f>
        <v/>
      </c>
    </row>
    <row r="13">
      <c r="A13" t="inlineStr">
        <is>
          <t>Kumon and Abacus</t>
        </is>
      </c>
      <c r="B13" t="inlineStr">
        <is>
          <t>Mrs Mizanur Shoma Apa</t>
        </is>
      </c>
      <c r="C13" s="17" t="inlineStr">
        <is>
          <t>No</t>
        </is>
      </c>
      <c r="D13" t="inlineStr"/>
      <c r="E13" s="18" t="n">
        <v>0</v>
      </c>
      <c r="F13" s="18" t="n">
        <v>0</v>
      </c>
      <c r="G13" s="19">
        <f>MAX(0,E13-F13)</f>
        <v/>
      </c>
    </row>
    <row r="14">
      <c r="A14" t="inlineStr">
        <is>
          <t>TK Auto</t>
        </is>
      </c>
      <c r="B14" t="inlineStr">
        <is>
          <t>Shenin</t>
        </is>
      </c>
      <c r="C14" s="17" t="inlineStr">
        <is>
          <t>No</t>
        </is>
      </c>
      <c r="D14" t="inlineStr"/>
      <c r="E14" s="18" t="n">
        <v>0</v>
      </c>
      <c r="F14" s="18" t="n">
        <v>0</v>
      </c>
      <c r="G14" s="19">
        <f>MAX(0,E14-F14)</f>
        <v/>
      </c>
    </row>
    <row r="15">
      <c r="A15" t="inlineStr">
        <is>
          <t>Elite Integrity Service</t>
        </is>
      </c>
      <c r="B15" t="inlineStr">
        <is>
          <t>Tanzim</t>
        </is>
      </c>
      <c r="C15" s="17" t="inlineStr">
        <is>
          <t>No</t>
        </is>
      </c>
      <c r="D15" t="inlineStr"/>
      <c r="E15" s="18" t="n">
        <v>0</v>
      </c>
      <c r="F15" s="18" t="n">
        <v>0</v>
      </c>
      <c r="G15" s="19">
        <f>MAX(0,E15-F15)</f>
        <v/>
      </c>
    </row>
    <row r="16">
      <c r="A16" t="inlineStr">
        <is>
          <t>Saem Daily Bazaar</t>
        </is>
      </c>
      <c r="B16" t="inlineStr">
        <is>
          <t>Tanzim</t>
        </is>
      </c>
      <c r="C16" s="17" t="inlineStr">
        <is>
          <t>No</t>
        </is>
      </c>
      <c r="D16" t="inlineStr"/>
      <c r="E16" s="18" t="n">
        <v>0</v>
      </c>
      <c r="F16" s="18" t="n">
        <v>0</v>
      </c>
      <c r="G16" s="19">
        <f>MAX(0,E16-F16)</f>
        <v/>
      </c>
    </row>
    <row r="17">
      <c r="A17" t="inlineStr">
        <is>
          <t>Mohsin Realton</t>
        </is>
      </c>
      <c r="B17" t="inlineStr">
        <is>
          <t>Tanzim</t>
        </is>
      </c>
      <c r="C17" s="17" t="inlineStr">
        <is>
          <t>No</t>
        </is>
      </c>
      <c r="D17" t="inlineStr"/>
      <c r="E17" s="18" t="n">
        <v>0</v>
      </c>
      <c r="F17" s="18" t="n">
        <v>0</v>
      </c>
      <c r="G17" s="19">
        <f>MAX(0,E17-F17)</f>
        <v/>
      </c>
    </row>
    <row r="18">
      <c r="A18" t="inlineStr">
        <is>
          <t>Iron Site</t>
        </is>
      </c>
      <c r="B18" t="inlineStr">
        <is>
          <t>Tahiat</t>
        </is>
      </c>
      <c r="C18" s="17" t="inlineStr">
        <is>
          <t>No</t>
        </is>
      </c>
      <c r="D18" t="inlineStr"/>
      <c r="E18" s="18" t="n">
        <v>0</v>
      </c>
      <c r="F18" s="18" t="n">
        <v>0</v>
      </c>
      <c r="G18" s="19">
        <f>MAX(0,E18-F18)</f>
        <v/>
      </c>
    </row>
    <row r="19">
      <c r="A19" t="inlineStr">
        <is>
          <t>Canadian Butcher</t>
        </is>
      </c>
      <c r="B19" t="inlineStr">
        <is>
          <t>Khaled Bhai</t>
        </is>
      </c>
      <c r="C19" s="17" t="inlineStr">
        <is>
          <t>No</t>
        </is>
      </c>
      <c r="D19" t="inlineStr"/>
      <c r="E19" s="18" t="n">
        <v>0</v>
      </c>
      <c r="F19" s="18" t="n">
        <v>0</v>
      </c>
      <c r="G19" s="19">
        <f>MAX(0,E19-F19)</f>
        <v/>
      </c>
    </row>
    <row r="20">
      <c r="A20" t="inlineStr">
        <is>
          <t>SVF</t>
        </is>
      </c>
      <c r="B20" t="inlineStr">
        <is>
          <t>Khaled Bhai</t>
        </is>
      </c>
      <c r="C20" s="17" t="inlineStr">
        <is>
          <t>No</t>
        </is>
      </c>
      <c r="D20" t="inlineStr"/>
      <c r="E20" s="18" t="n">
        <v>0</v>
      </c>
      <c r="F20" s="18" t="n">
        <v>0</v>
      </c>
      <c r="G20" s="19">
        <f>MAX(0,E20-F20)</f>
        <v/>
      </c>
    </row>
    <row r="21">
      <c r="A21" t="inlineStr">
        <is>
          <t>Top Donair</t>
        </is>
      </c>
      <c r="B21" t="inlineStr">
        <is>
          <t>Khaled Bhai</t>
        </is>
      </c>
      <c r="C21" s="17" t="inlineStr">
        <is>
          <t>No</t>
        </is>
      </c>
      <c r="D21" t="inlineStr"/>
      <c r="E21" s="18" t="n">
        <v>0</v>
      </c>
      <c r="F21" s="18" t="n">
        <v>0</v>
      </c>
      <c r="G21" s="19">
        <f>MAX(0,E21-F21)</f>
        <v/>
      </c>
    </row>
    <row r="22">
      <c r="A22" t="inlineStr">
        <is>
          <t>Realtor Duke Bhai</t>
        </is>
      </c>
      <c r="B22" t="inlineStr">
        <is>
          <t>Khaled Bhai</t>
        </is>
      </c>
      <c r="C22" s="17" t="inlineStr">
        <is>
          <t>No</t>
        </is>
      </c>
      <c r="D22" t="inlineStr"/>
      <c r="E22" s="18" t="n">
        <v>0</v>
      </c>
      <c r="F22" s="18" t="n">
        <v>0</v>
      </c>
      <c r="G22" s="19">
        <f>MAX(0,E22-F22)</f>
        <v/>
      </c>
    </row>
    <row r="23">
      <c r="A23" t="inlineStr">
        <is>
          <t>Physio</t>
        </is>
      </c>
      <c r="B23" t="inlineStr">
        <is>
          <t>Khaled Bhai</t>
        </is>
      </c>
      <c r="C23" s="17" t="inlineStr">
        <is>
          <t>No</t>
        </is>
      </c>
      <c r="D23" t="inlineStr"/>
      <c r="E23" s="18" t="n">
        <v>0</v>
      </c>
      <c r="F23" s="18" t="n">
        <v>0</v>
      </c>
      <c r="G23" s="19">
        <f>MAX(0,E23-F23)</f>
        <v/>
      </c>
    </row>
    <row r="24">
      <c r="A24" t="inlineStr">
        <is>
          <t>Madira</t>
        </is>
      </c>
      <c r="B24" t="inlineStr">
        <is>
          <t>Sathi</t>
        </is>
      </c>
      <c r="C24" s="17" t="inlineStr">
        <is>
          <t>No</t>
        </is>
      </c>
      <c r="D24" t="inlineStr"/>
      <c r="E24" s="18" t="n">
        <v>0</v>
      </c>
      <c r="F24" s="18" t="n">
        <v>0</v>
      </c>
      <c r="G24" s="19">
        <f>MAX(0,E24-F24)</f>
        <v/>
      </c>
    </row>
    <row r="25">
      <c r="A25" t="inlineStr">
        <is>
          <t>Sudipto</t>
        </is>
      </c>
      <c r="B25" t="inlineStr">
        <is>
          <t>Sathi</t>
        </is>
      </c>
      <c r="C25" s="17" t="inlineStr">
        <is>
          <t>No</t>
        </is>
      </c>
      <c r="D25" t="inlineStr"/>
      <c r="E25" s="18" t="n">
        <v>0</v>
      </c>
      <c r="F25" s="18" t="n">
        <v>0</v>
      </c>
      <c r="G25" s="19">
        <f>MAX(0,E25-F25)</f>
        <v/>
      </c>
    </row>
    <row r="26">
      <c r="A26" t="inlineStr">
        <is>
          <t>Shatkahon</t>
        </is>
      </c>
      <c r="B26" t="inlineStr">
        <is>
          <t>Sathi</t>
        </is>
      </c>
      <c r="C26" s="17" t="inlineStr">
        <is>
          <t>No</t>
        </is>
      </c>
      <c r="D26" t="inlineStr"/>
      <c r="E26" s="18" t="n">
        <v>0</v>
      </c>
      <c r="F26" s="18" t="n">
        <v>0</v>
      </c>
      <c r="G26" s="19">
        <f>MAX(0,E26-F26)</f>
        <v/>
      </c>
    </row>
    <row r="27">
      <c r="A27" t="inlineStr">
        <is>
          <t>Sheila</t>
        </is>
      </c>
      <c r="B27" t="inlineStr">
        <is>
          <t>Tanvir/Tajul Bhai</t>
        </is>
      </c>
      <c r="C27" s="17" t="inlineStr">
        <is>
          <t>No</t>
        </is>
      </c>
      <c r="D27" t="inlineStr"/>
      <c r="E27" s="18" t="n">
        <v>0</v>
      </c>
      <c r="F27" s="18" t="n">
        <v>0</v>
      </c>
      <c r="G27" s="19">
        <f>MAX(0,E27-F27)</f>
        <v/>
      </c>
    </row>
    <row r="28">
      <c r="A28" t="inlineStr">
        <is>
          <t>Ketek</t>
        </is>
      </c>
      <c r="B28" t="inlineStr">
        <is>
          <t>Raiyan</t>
        </is>
      </c>
      <c r="C28" s="17" t="inlineStr">
        <is>
          <t>No</t>
        </is>
      </c>
      <c r="D28" t="inlineStr"/>
      <c r="E28" s="18" t="n">
        <v>0</v>
      </c>
      <c r="F28" s="18" t="n">
        <v>0</v>
      </c>
      <c r="G28" s="19">
        <f>MAX(0,E28-F28)</f>
        <v/>
      </c>
    </row>
    <row r="29">
      <c r="A29" t="inlineStr">
        <is>
          <t>Tanvir Bhai</t>
        </is>
      </c>
      <c r="B29" t="inlineStr">
        <is>
          <t>Shuddho</t>
        </is>
      </c>
      <c r="C29" s="17" t="inlineStr">
        <is>
          <t>No</t>
        </is>
      </c>
      <c r="D29" t="inlineStr"/>
      <c r="E29" s="18" t="n">
        <v>0</v>
      </c>
      <c r="F29" s="18" t="n">
        <v>0</v>
      </c>
      <c r="G29" s="19">
        <f>MAX(0,E29-F29)</f>
        <v/>
      </c>
    </row>
    <row r="30">
      <c r="A30" t="inlineStr">
        <is>
          <t>Donair &amp; Poutine</t>
        </is>
      </c>
      <c r="B30" t="inlineStr">
        <is>
          <t>Fahim</t>
        </is>
      </c>
      <c r="C30" s="17" t="inlineStr">
        <is>
          <t>No</t>
        </is>
      </c>
      <c r="D30" t="inlineStr"/>
      <c r="E30" s="18" t="n">
        <v>0</v>
      </c>
      <c r="F30" s="18" t="n">
        <v>0</v>
      </c>
      <c r="G30" s="19">
        <f>MAX(0,E30-F30)</f>
        <v/>
      </c>
    </row>
    <row r="31">
      <c r="A31" t="inlineStr">
        <is>
          <t>Mizan Bhai</t>
        </is>
      </c>
      <c r="B31" t="inlineStr">
        <is>
          <t>Fahim</t>
        </is>
      </c>
      <c r="C31" s="17" t="inlineStr">
        <is>
          <t>No</t>
        </is>
      </c>
      <c r="D31" t="inlineStr"/>
      <c r="E31" s="18" t="n">
        <v>0</v>
      </c>
      <c r="F31" s="18" t="n">
        <v>0</v>
      </c>
      <c r="G31" s="19">
        <f>MAX(0,E31-F31)</f>
        <v/>
      </c>
    </row>
    <row r="32">
      <c r="A32" t="inlineStr">
        <is>
          <t>Dominion Laundry</t>
        </is>
      </c>
      <c r="B32" t="inlineStr">
        <is>
          <t>Fahim</t>
        </is>
      </c>
      <c r="C32" s="17" t="inlineStr">
        <is>
          <t>No</t>
        </is>
      </c>
      <c r="D32" t="inlineStr"/>
      <c r="E32" s="18" t="n">
        <v>0</v>
      </c>
      <c r="F32" s="18" t="n">
        <v>0</v>
      </c>
      <c r="G32" s="19">
        <f>MAX(0,E32-F32)</f>
        <v/>
      </c>
    </row>
    <row r="33">
      <c r="A33" t="inlineStr">
        <is>
          <t>New conl</t>
        </is>
      </c>
      <c r="B33" t="inlineStr">
        <is>
          <t>Shenin</t>
        </is>
      </c>
      <c r="C33" s="17" t="inlineStr">
        <is>
          <t>No</t>
        </is>
      </c>
      <c r="D33" t="inlineStr"/>
      <c r="E33" s="18" t="n">
        <v>0</v>
      </c>
      <c r="F33" s="18" t="n">
        <v>0</v>
      </c>
      <c r="G33" s="19">
        <f>MAX(0,E33-F33)</f>
        <v/>
      </c>
    </row>
  </sheetData>
  <autoFilter ref="A1:G33"/>
  <dataValidations count="2">
    <dataValidation sqref="C2:C33" showDropDown="0" showInputMessage="0" showErrorMessage="0" allowBlank="0" errorTitle="Done" error="Pick Yes or No" type="list">
      <formula1>"Yes,No"</formula1>
    </dataValidation>
    <dataValidation sqref="D2:D33" showDropDown="0" showInputMessage="0" showErrorMessage="0" allowBlank="1" type="list">
      <formula1>"Waiting for reply,Meeting booked,Confirmed sponsor,In-kind support,Declined,Can't reach"</formula1>
    </dataValidation>
  </dataValidations>
  <pageMargins left="0.75" right="0.75" top="1" bottom="1" header="0.5" footer="0.5"/>
  <pageSetup orientation="landscape" fitToHeight="0" fitToWidth="1"/>
  <headerFooter>
    <oddHeader>&amp;LArtcell Edmonton — Sponsors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0" customWidth="1" min="4" max="4"/>
    <col width="36" customWidth="1" min="5" max="5"/>
  </cols>
  <sheetData>
    <row r="1" ht="22" customHeight="1">
      <c r="A1" s="16" t="inlineStr">
        <is>
          <t>Name or group</t>
        </is>
      </c>
      <c r="B1" s="16" t="inlineStr">
        <is>
          <t>Assigned</t>
        </is>
      </c>
      <c r="C1" s="16" t="inlineStr">
        <is>
          <t>Status</t>
        </is>
      </c>
      <c r="D1" s="16" t="inlineStr">
        <is>
          <t>Seats</t>
        </is>
      </c>
      <c r="E1" s="16" t="inlineStr">
        <is>
          <t>Notes</t>
        </is>
      </c>
    </row>
    <row r="2">
      <c r="A2" s="20" t="inlineStr"/>
      <c r="B2" s="20" t="inlineStr"/>
      <c r="C2" s="20" t="inlineStr">
        <is>
          <t>Not reached</t>
        </is>
      </c>
      <c r="D2" s="20" t="n">
        <v>1</v>
      </c>
      <c r="E2" s="20" t="inlineStr"/>
    </row>
    <row r="3">
      <c r="A3" s="20" t="inlineStr"/>
      <c r="B3" s="20" t="inlineStr"/>
      <c r="C3" s="20" t="inlineStr">
        <is>
          <t>Not reached</t>
        </is>
      </c>
      <c r="D3" s="20" t="n">
        <v>1</v>
      </c>
      <c r="E3" s="20" t="inlineStr"/>
    </row>
    <row r="4">
      <c r="A4" s="20" t="inlineStr"/>
      <c r="B4" s="20" t="inlineStr"/>
      <c r="C4" s="20" t="inlineStr">
        <is>
          <t>Not reached</t>
        </is>
      </c>
      <c r="D4" s="20" t="n">
        <v>1</v>
      </c>
      <c r="E4" s="20" t="inlineStr"/>
    </row>
    <row r="5">
      <c r="A5" s="20" t="inlineStr"/>
      <c r="B5" s="20" t="inlineStr"/>
      <c r="C5" s="20" t="inlineStr">
        <is>
          <t>Not reached</t>
        </is>
      </c>
      <c r="D5" s="20" t="n">
        <v>1</v>
      </c>
      <c r="E5" s="20" t="inlineStr"/>
    </row>
    <row r="6">
      <c r="A6" s="20" t="inlineStr"/>
      <c r="B6" s="20" t="inlineStr"/>
      <c r="C6" s="20" t="inlineStr">
        <is>
          <t>Not reached</t>
        </is>
      </c>
      <c r="D6" s="20" t="n">
        <v>1</v>
      </c>
      <c r="E6" s="20" t="inlineStr"/>
    </row>
    <row r="7">
      <c r="A7" s="20" t="inlineStr"/>
      <c r="B7" s="20" t="inlineStr"/>
      <c r="C7" s="20" t="inlineStr">
        <is>
          <t>Not reached</t>
        </is>
      </c>
      <c r="D7" s="20" t="n">
        <v>1</v>
      </c>
      <c r="E7" s="20" t="inlineStr"/>
    </row>
    <row r="8">
      <c r="A8" s="20" t="inlineStr"/>
      <c r="B8" s="20" t="inlineStr"/>
      <c r="C8" s="20" t="inlineStr">
        <is>
          <t>Not reached</t>
        </is>
      </c>
      <c r="D8" s="20" t="n">
        <v>1</v>
      </c>
      <c r="E8" s="20" t="inlineStr"/>
    </row>
    <row r="9">
      <c r="A9" s="20" t="inlineStr"/>
      <c r="B9" s="20" t="inlineStr"/>
      <c r="C9" s="20" t="inlineStr">
        <is>
          <t>Not reached</t>
        </is>
      </c>
      <c r="D9" s="20" t="n">
        <v>1</v>
      </c>
      <c r="E9" s="20" t="inlineStr"/>
    </row>
    <row r="10">
      <c r="A10" s="20" t="inlineStr"/>
      <c r="B10" s="20" t="inlineStr"/>
      <c r="C10" s="20" t="inlineStr">
        <is>
          <t>Not reached</t>
        </is>
      </c>
      <c r="D10" s="20" t="n">
        <v>1</v>
      </c>
      <c r="E10" s="20" t="inlineStr"/>
    </row>
    <row r="11">
      <c r="A11" s="20" t="inlineStr"/>
      <c r="B11" s="20" t="inlineStr"/>
      <c r="C11" s="20" t="inlineStr">
        <is>
          <t>Not reached</t>
        </is>
      </c>
      <c r="D11" s="20" t="n">
        <v>1</v>
      </c>
      <c r="E11" s="20" t="inlineStr"/>
    </row>
    <row r="12">
      <c r="A12" s="20" t="inlineStr"/>
      <c r="B12" s="20" t="inlineStr"/>
      <c r="C12" s="20" t="inlineStr">
        <is>
          <t>Not reached</t>
        </is>
      </c>
      <c r="D12" s="20" t="n">
        <v>1</v>
      </c>
      <c r="E12" s="20" t="inlineStr"/>
    </row>
    <row r="13">
      <c r="A13" s="20" t="inlineStr"/>
      <c r="B13" s="20" t="inlineStr"/>
      <c r="C13" s="20" t="inlineStr">
        <is>
          <t>Not reached</t>
        </is>
      </c>
      <c r="D13" s="20" t="n">
        <v>1</v>
      </c>
      <c r="E13" s="20" t="inlineStr"/>
    </row>
    <row r="14">
      <c r="A14" s="20" t="inlineStr"/>
      <c r="B14" s="20" t="inlineStr"/>
      <c r="C14" s="20" t="inlineStr">
        <is>
          <t>Not reached</t>
        </is>
      </c>
      <c r="D14" s="20" t="n">
        <v>1</v>
      </c>
      <c r="E14" s="20" t="inlineStr"/>
    </row>
    <row r="15">
      <c r="A15" s="20" t="inlineStr"/>
      <c r="B15" s="20" t="inlineStr"/>
      <c r="C15" s="20" t="inlineStr">
        <is>
          <t>Not reached</t>
        </is>
      </c>
      <c r="D15" s="20" t="n">
        <v>1</v>
      </c>
      <c r="E15" s="20" t="inlineStr"/>
    </row>
    <row r="16">
      <c r="A16" s="20" t="inlineStr"/>
      <c r="B16" s="20" t="inlineStr"/>
      <c r="C16" s="20" t="inlineStr">
        <is>
          <t>Not reached</t>
        </is>
      </c>
      <c r="D16" s="20" t="n">
        <v>1</v>
      </c>
      <c r="E16" s="20" t="inlineStr"/>
    </row>
    <row r="17">
      <c r="A17" s="20" t="inlineStr"/>
      <c r="B17" s="20" t="inlineStr"/>
      <c r="C17" s="20" t="inlineStr">
        <is>
          <t>Not reached</t>
        </is>
      </c>
      <c r="D17" s="20" t="n">
        <v>1</v>
      </c>
      <c r="E17" s="20" t="inlineStr"/>
    </row>
    <row r="18">
      <c r="A18" s="20" t="inlineStr"/>
      <c r="B18" s="20" t="inlineStr"/>
      <c r="C18" s="20" t="inlineStr">
        <is>
          <t>Not reached</t>
        </is>
      </c>
      <c r="D18" s="20" t="n">
        <v>1</v>
      </c>
      <c r="E18" s="20" t="inlineStr"/>
    </row>
    <row r="19">
      <c r="A19" s="20" t="inlineStr"/>
      <c r="B19" s="20" t="inlineStr"/>
      <c r="C19" s="20" t="inlineStr">
        <is>
          <t>Not reached</t>
        </is>
      </c>
      <c r="D19" s="20" t="n">
        <v>1</v>
      </c>
      <c r="E19" s="20" t="inlineStr"/>
    </row>
    <row r="20">
      <c r="A20" s="20" t="inlineStr"/>
      <c r="B20" s="20" t="inlineStr"/>
      <c r="C20" s="20" t="inlineStr">
        <is>
          <t>Not reached</t>
        </is>
      </c>
      <c r="D20" s="20" t="n">
        <v>1</v>
      </c>
      <c r="E20" s="20" t="inlineStr"/>
    </row>
    <row r="21">
      <c r="A21" s="20" t="inlineStr"/>
      <c r="B21" s="20" t="inlineStr"/>
      <c r="C21" s="20" t="inlineStr">
        <is>
          <t>Not reached</t>
        </is>
      </c>
      <c r="D21" s="20" t="n">
        <v>1</v>
      </c>
      <c r="E21" s="20" t="inlineStr"/>
    </row>
    <row r="22">
      <c r="A22" s="20" t="inlineStr"/>
      <c r="B22" s="20" t="inlineStr"/>
      <c r="C22" s="20" t="inlineStr">
        <is>
          <t>Not reached</t>
        </is>
      </c>
      <c r="D22" s="20" t="n">
        <v>1</v>
      </c>
      <c r="E22" s="20" t="inlineStr"/>
    </row>
    <row r="23">
      <c r="A23" s="20" t="inlineStr"/>
      <c r="B23" s="20" t="inlineStr"/>
      <c r="C23" s="20" t="inlineStr">
        <is>
          <t>Not reached</t>
        </is>
      </c>
      <c r="D23" s="20" t="n">
        <v>1</v>
      </c>
      <c r="E23" s="20" t="inlineStr"/>
    </row>
    <row r="24">
      <c r="A24" s="20" t="inlineStr"/>
      <c r="B24" s="20" t="inlineStr"/>
      <c r="C24" s="20" t="inlineStr">
        <is>
          <t>Not reached</t>
        </is>
      </c>
      <c r="D24" s="20" t="n">
        <v>1</v>
      </c>
      <c r="E24" s="20" t="inlineStr"/>
    </row>
    <row r="25">
      <c r="A25" s="20" t="inlineStr"/>
      <c r="B25" s="20" t="inlineStr"/>
      <c r="C25" s="20" t="inlineStr">
        <is>
          <t>Not reached</t>
        </is>
      </c>
      <c r="D25" s="20" t="n">
        <v>1</v>
      </c>
      <c r="E25" s="20" t="inlineStr"/>
    </row>
    <row r="26">
      <c r="A26" s="20" t="inlineStr"/>
      <c r="B26" s="20" t="inlineStr"/>
      <c r="C26" s="20" t="inlineStr">
        <is>
          <t>Not reached</t>
        </is>
      </c>
      <c r="D26" s="20" t="n">
        <v>1</v>
      </c>
      <c r="E26" s="20" t="inlineStr"/>
    </row>
  </sheetData>
  <dataValidations count="1">
    <dataValidation sqref="C2:C26" showDropDown="0" showInputMessage="0" showErrorMessage="0" allowBlank="0" type="list">
      <formula1>"Not reached,Reached,Maybe,Confirmed,Declined"</formula1>
    </dataValidation>
  </dataValidations>
  <pageMargins left="0.75" right="0.75" top="1" bottom="1" header="0.5" footer="0.5"/>
  <headerFooter>
    <oddHeader>&amp;LArtcell Edmonton — Attendance outreach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62" customWidth="1" min="4" max="4"/>
  </cols>
  <sheetData>
    <row r="1">
      <c r="A1" s="16" t="inlineStr">
        <is>
          <t>#</t>
        </is>
      </c>
      <c r="B1" s="16" t="inlineStr">
        <is>
          <t>Cue</t>
        </is>
      </c>
      <c r="C1" s="16" t="inlineStr">
        <is>
          <t>Timestamp</t>
        </is>
      </c>
      <c r="D1" s="16" t="inlineStr">
        <is>
          <t>YouTube</t>
        </is>
      </c>
    </row>
    <row r="2">
      <c r="A2" t="n">
        <v>1</v>
      </c>
      <c r="B2" t="inlineStr">
        <is>
          <t>Dukkho Bilash Outro</t>
        </is>
      </c>
      <c r="C2" t="inlineStr">
        <is>
          <t>8:15</t>
        </is>
      </c>
      <c r="D2" s="21" t="inlineStr">
        <is>
          <t>https://www.youtube.com/watch?v=xSue3Ckaoos&amp;t=495s</t>
        </is>
      </c>
    </row>
    <row r="3">
      <c r="A3" t="n">
        <v>2</v>
      </c>
      <c r="B3" t="inlineStr">
        <is>
          <t>Onno Shomoy Intro</t>
        </is>
      </c>
      <c r="C3" t="inlineStr">
        <is>
          <t>10:52</t>
        </is>
      </c>
      <c r="D3" s="21" t="inlineStr">
        <is>
          <t>https://www.youtube.com/watch?v=xSue3Ckaoos&amp;t=652s</t>
        </is>
      </c>
    </row>
    <row r="4">
      <c r="A4" t="n">
        <v>3</v>
      </c>
      <c r="B4" t="inlineStr">
        <is>
          <t>Onno Shomoy Instrumental Section</t>
        </is>
      </c>
      <c r="C4" t="inlineStr">
        <is>
          <t>1:42</t>
        </is>
      </c>
      <c r="D4" s="21" t="inlineStr">
        <is>
          <t>https://www.youtube.com/watch?v=v6SWr2UeYs4&amp;t=102s</t>
        </is>
      </c>
    </row>
    <row r="5">
      <c r="A5" t="n">
        <v>4</v>
      </c>
      <c r="B5" t="inlineStr">
        <is>
          <t>Onno Shomoy Outro</t>
        </is>
      </c>
      <c r="C5" t="inlineStr">
        <is>
          <t>4:22</t>
        </is>
      </c>
      <c r="D5" s="21" t="inlineStr">
        <is>
          <t>https://www.youtube.com/watch?v=v6SWr2UeYs4&amp;t=262s</t>
        </is>
      </c>
    </row>
    <row r="6">
      <c r="A6" t="n">
        <v>5</v>
      </c>
      <c r="B6" t="inlineStr">
        <is>
          <t>Dhushor Shomoy Final Chorus</t>
        </is>
      </c>
      <c r="C6" t="inlineStr">
        <is>
          <t>6:18</t>
        </is>
      </c>
      <c r="D6" s="21" t="inlineStr">
        <is>
          <t>https://www.youtube.com/watch?v=eo4Zj-7Ex4o&amp;t=378s</t>
        </is>
      </c>
    </row>
    <row r="7">
      <c r="A7" t="n">
        <v>6</v>
      </c>
      <c r="B7" t="inlineStr">
        <is>
          <t>Rahur Ghrash Chorus</t>
        </is>
      </c>
      <c r="C7" t="inlineStr">
        <is>
          <t>4:52</t>
        </is>
      </c>
      <c r="D7" s="21" t="inlineStr">
        <is>
          <t>https://www.youtube.com/watch?v=7FupQWRuqSc&amp;t=292s</t>
        </is>
      </c>
    </row>
    <row r="8">
      <c r="A8" t="n">
        <v>7</v>
      </c>
      <c r="B8" t="inlineStr">
        <is>
          <t>Rahur Grash Outro Instrumental</t>
        </is>
      </c>
      <c r="C8" t="inlineStr">
        <is>
          <t>6:39</t>
        </is>
      </c>
      <c r="D8" s="21" t="inlineStr">
        <is>
          <t>https://www.youtube.com/watch?v=7FupQWRuqSc&amp;t=399s</t>
        </is>
      </c>
    </row>
    <row r="9">
      <c r="A9" t="n">
        <v>8</v>
      </c>
      <c r="B9" t="inlineStr">
        <is>
          <t>Bhul Jonmo Chorus</t>
        </is>
      </c>
      <c r="C9" t="inlineStr">
        <is>
          <t>2:02</t>
        </is>
      </c>
      <c r="D9" s="21" t="inlineStr">
        <is>
          <t>https://www.youtube.com/watch?v=z47nnlHkMIc&amp;t=122s</t>
        </is>
      </c>
    </row>
    <row r="10">
      <c r="A10" t="n">
        <v>9</v>
      </c>
      <c r="B10" t="inlineStr">
        <is>
          <t>Utshober Utshahe</t>
        </is>
      </c>
      <c r="C10" t="inlineStr">
        <is>
          <t>4:15</t>
        </is>
      </c>
      <c r="D10" s="21" t="inlineStr">
        <is>
          <t>https://www.youtube.com/watch?v=RpEFOwsHEmE&amp;t=255s</t>
        </is>
      </c>
    </row>
    <row r="11">
      <c r="A11" t="n">
        <v>10</v>
      </c>
      <c r="B11" t="inlineStr">
        <is>
          <t>Chile Kothar Sepai Solo</t>
        </is>
      </c>
      <c r="C11" t="inlineStr">
        <is>
          <t>3:11</t>
        </is>
      </c>
      <c r="D11" s="21" t="inlineStr">
        <is>
          <t>https://www.youtube.com/watch?v=xI_Fa-wpGgw&amp;t=191s</t>
        </is>
      </c>
    </row>
    <row r="12">
      <c r="A12" t="n">
        <v>11</v>
      </c>
      <c r="B12" t="inlineStr">
        <is>
          <t>Chile Kothar Shepai Instrumental</t>
        </is>
      </c>
      <c r="C12" t="inlineStr">
        <is>
          <t>4:31</t>
        </is>
      </c>
      <c r="D12" s="21" t="inlineStr">
        <is>
          <t>https://www.youtube.com/watch?v=ZI0TYzNuSq4&amp;t=271s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8" customWidth="1" min="2" max="2"/>
  </cols>
  <sheetData>
    <row r="1">
      <c r="B1" s="22" t="inlineStr">
        <is>
          <t>Put this file on your Microsoft 365 account</t>
        </is>
      </c>
    </row>
    <row r="2"/>
    <row r="4" ht="22" customHeight="1">
      <c r="B4" s="23" t="inlineStr">
        <is>
          <t>1. Open OneDrive or SharePoint in the browser (onedrive.live.com or your work/school 365).</t>
        </is>
      </c>
    </row>
    <row r="5" ht="22" customHeight="1">
      <c r="B5" s="23" t="inlineStr">
        <is>
          <t>2. Upload Artcell-Edmonton-Show.xlsx. Or File → Save As → OneDrive from Excel.</t>
        </is>
      </c>
    </row>
    <row r="6" ht="22" customHeight="1">
      <c r="B6" s="23" t="inlineStr">
        <is>
          <t>3. Click Share → Anyone with the link can edit (or your org only, if that’s safer).</t>
        </is>
      </c>
    </row>
    <row r="7" ht="22" customHeight="1">
      <c r="B7" s="23" t="inlineStr">
        <is>
          <t>4. Paste that link in the group chat. People tap it on their phone and choose Open in Excel.</t>
        </is>
      </c>
    </row>
    <row r="8" ht="22" customHeight="1">
      <c r="B8" s="23" t="inlineStr">
        <is>
          <t>5. On a phone: install the Excel app if the browser feels cramped. Yellow cells are the only ones to type.</t>
        </is>
      </c>
    </row>
    <row r="9" ht="22" customHeight="1">
      <c r="B9" s="23" t="inlineStr"/>
    </row>
    <row r="10" ht="22" customHeight="1">
      <c r="B10" s="23" t="inlineStr">
        <is>
          <t>Money: set the target on Dashboard, then enter Committed / Received on Sponsors. Remaining calculates.</t>
        </is>
      </c>
    </row>
    <row r="11" ht="22" customHeight="1">
      <c r="B11" s="23" t="inlineStr">
        <is>
          <t>Attendance: add each person or group, how many seats, and status. Confirmed seats roll up to Dashboard.</t>
        </is>
      </c>
    </row>
    <row r="12" ht="22" customHeight="1">
      <c r="B12" s="23" t="inlineStr">
        <is>
          <t>Setlist: tap a YouTube link to jump to that cue.</t>
        </is>
      </c>
    </row>
    <row r="13" ht="22" customHeight="1">
      <c r="B13" s="23" t="inlineStr"/>
    </row>
    <row r="14" ht="22" customHeight="1">
      <c r="B14" s="23" t="inlineStr">
        <is>
          <t>Excel is simpler for totals. The phone website is simpler for big tap buttons. Use both if you want — they are not linked yet.</t>
        </is>
      </c>
    </row>
    <row r="15" ht="22" customHeight="1">
      <c r="B15" s="23" t="inlineStr">
        <is>
          <t>Don’t copy this file around as email attachments after you start sharing. One file in OneDrive is the source of truth.</t>
        </is>
      </c>
    </row>
  </sheetData>
  <mergeCells count="1"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2026-09-04T17:09:43Z</dcterms:created>
  <dcterms:modified xsi:type="dcterms:W3CDTF">2026-09-04T17:09:43Z</dcterms:modified>
</cp:coreProperties>
</file>